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3601dfe1b270ff/CNWL_BTEC_Proj_Research/BTEC Level 3 (Year 1)/Bratatis Work/Data Modelling/Main Assignment/"/>
    </mc:Choice>
  </mc:AlternateContent>
  <xr:revisionPtr revIDLastSave="491" documentId="8_{66E1B405-DCC5-4905-A2B5-5100482E5D14}" xr6:coauthVersionLast="47" xr6:coauthVersionMax="47" xr10:uidLastSave="{E83B0F0E-6C92-4402-B857-494AE70449FF}"/>
  <bookViews>
    <workbookView minimized="1" xWindow="4188" yWindow="6024" windowWidth="17892" windowHeight="6216" xr2:uid="{DEE006B0-3C00-463D-93E2-07D6F2DD4D42}"/>
  </bookViews>
  <sheets>
    <sheet name="Prediction Sheet" sheetId="3" r:id="rId1"/>
    <sheet name="Base Sheet " sheetId="1" r:id="rId2"/>
    <sheet name="Home Page" sheetId="8" r:id="rId3"/>
    <sheet name="Graphic Chart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G2" i="3" s="1"/>
  <c r="F2" i="3"/>
  <c r="E2" i="3"/>
  <c r="D3" i="3"/>
  <c r="D4" i="3"/>
  <c r="D5" i="3"/>
  <c r="D6" i="3"/>
  <c r="D2" i="3"/>
  <c r="C8" i="11"/>
  <c r="B8" i="11"/>
  <c r="C3" i="3"/>
  <c r="C4" i="3"/>
  <c r="C5" i="3"/>
  <c r="C6" i="3"/>
  <c r="E6" i="3"/>
  <c r="E5" i="3"/>
  <c r="F5" i="3" s="1"/>
  <c r="E4" i="3"/>
  <c r="E3" i="3"/>
  <c r="E2" i="1"/>
  <c r="D2" i="1" s="1"/>
  <c r="E3" i="1"/>
  <c r="D3" i="1" s="1"/>
  <c r="E4" i="1"/>
  <c r="D4" i="1" s="1"/>
  <c r="E5" i="1"/>
  <c r="F5" i="1" s="1"/>
  <c r="G5" i="1" s="1"/>
  <c r="E6" i="1"/>
  <c r="F6" i="1" s="1"/>
  <c r="G6" i="1" s="1"/>
  <c r="G6" i="3" l="1"/>
  <c r="G3" i="3"/>
  <c r="G4" i="3"/>
  <c r="F4" i="3"/>
  <c r="F3" i="3"/>
  <c r="F6" i="3"/>
  <c r="D6" i="1"/>
  <c r="F4" i="1"/>
  <c r="G4" i="1" s="1"/>
  <c r="F3" i="1"/>
  <c r="G3" i="1" s="1"/>
  <c r="F2" i="1"/>
  <c r="G2" i="1" s="1"/>
  <c r="E12" i="1" s="1"/>
  <c r="D5" i="1"/>
  <c r="G5" i="3" l="1"/>
  <c r="E13" i="3" s="1"/>
</calcChain>
</file>

<file path=xl/sharedStrings.xml><?xml version="1.0" encoding="utf-8"?>
<sst xmlns="http://schemas.openxmlformats.org/spreadsheetml/2006/main" count="40" uniqueCount="20">
  <si>
    <t xml:space="preserve">Cheese </t>
  </si>
  <si>
    <t>Cost per Kilo in Euros</t>
  </si>
  <si>
    <t>Average monthly sales based on Euro to Pound exchange rate of 0.7</t>
  </si>
  <si>
    <t>Camembert</t>
  </si>
  <si>
    <t>Emmental</t>
  </si>
  <si>
    <t>Gruyere</t>
  </si>
  <si>
    <t>Edam</t>
  </si>
  <si>
    <t>Gouda</t>
  </si>
  <si>
    <t>Cost in GBP</t>
  </si>
  <si>
    <t>Exchange Rate</t>
  </si>
  <si>
    <t>Margin</t>
  </si>
  <si>
    <t>Selling Price in GBP</t>
  </si>
  <si>
    <t>Profit in GBP</t>
  </si>
  <si>
    <t>Profit Margin</t>
  </si>
  <si>
    <t>Total Profit</t>
  </si>
  <si>
    <t>Increment</t>
  </si>
  <si>
    <t>Base Sheet Profit in GBP</t>
  </si>
  <si>
    <t>Prediction Sheet Profit in GBP</t>
  </si>
  <si>
    <t>Total</t>
  </si>
  <si>
    <t>Type of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</si>
</sst>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[$€-2]\ #,##0.00;[Red][$€-2]\ #,##0.00"/>
    <numFmt numFmtId="166" formatCode="[$£-809]#,##0.00;[Red][$£-809]#,##0.00"/>
    <numFmt numFmtId="167" formatCode="[$€-2]\ #,##0.00;\-[$€-2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left"/>
    </xf>
    <xf numFmtId="9" fontId="0" fillId="5" borderId="0" xfId="0" applyNumberFormat="1" applyFill="1" applyAlignment="1">
      <alignment horizontal="left"/>
    </xf>
    <xf numFmtId="164" fontId="1" fillId="5" borderId="0" xfId="0" applyNumberFormat="1" applyFont="1" applyFill="1"/>
    <xf numFmtId="0" fontId="1" fillId="3" borderId="0" xfId="0" applyFont="1" applyFill="1" applyAlignment="1">
      <alignment horizontal="left"/>
    </xf>
    <xf numFmtId="9" fontId="1" fillId="4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left"/>
    </xf>
    <xf numFmtId="164" fontId="0" fillId="7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6" fillId="2" borderId="1" xfId="0" applyNumberFormat="1" applyFont="1" applyFill="1" applyBorder="1" applyAlignment="1">
      <alignment horizontal="center"/>
    </xf>
    <xf numFmtId="164" fontId="0" fillId="7" borderId="1" xfId="1" applyNumberFormat="1" applyFont="1" applyFill="1" applyBorder="1" applyAlignment="1">
      <alignment horizontal="left"/>
    </xf>
    <xf numFmtId="44" fontId="0" fillId="0" borderId="1" xfId="1" applyFont="1" applyBorder="1" applyAlignment="1">
      <alignment horizontal="left"/>
    </xf>
    <xf numFmtId="164" fontId="0" fillId="6" borderId="0" xfId="0" applyNumberFormat="1" applyFill="1" applyAlignment="1">
      <alignment horizontal="center"/>
    </xf>
    <xf numFmtId="164" fontId="0" fillId="9" borderId="0" xfId="0" applyNumberFormat="1" applyFill="1"/>
    <xf numFmtId="0" fontId="6" fillId="2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1" fillId="9" borderId="0" xfId="0" applyFont="1" applyFill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6" borderId="0" xfId="0" applyNumberFormat="1" applyFill="1" applyAlignment="1">
      <alignment horizontal="right"/>
    </xf>
    <xf numFmtId="166" fontId="1" fillId="6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[$€-2]\ #,##0.00;[Red][$€-2]\ 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166" formatCode="[$£-809]#,##0.00;[Red][$£-809]#,##0.00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7" formatCode="[$€-2]\ #,##0.00;\-[$€-2]\ 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'Graphic Chart'!$B$1</c:f>
              <c:strCache>
                <c:ptCount val="1"/>
                <c:pt idx="0">
                  <c:v> Prediction Sheet Profit in GBP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'Graphic Chart'!$A$2:$A$6</c:f>
              <c:strCache>
                <c:ptCount val="5"/>
                <c:pt idx="0">
                  <c:v>Camembert</c:v>
                </c:pt>
                <c:pt idx="1">
                  <c:v>Emmental</c:v>
                </c:pt>
                <c:pt idx="2">
                  <c:v>Gruyere</c:v>
                </c:pt>
                <c:pt idx="3">
                  <c:v>Edam</c:v>
                </c:pt>
                <c:pt idx="4">
                  <c:v>Gouda</c:v>
                </c:pt>
              </c:strCache>
            </c:strRef>
          </c:cat>
          <c:val>
            <c:numRef>
              <c:f>'Graphic Chart'!$B$2:$B$6</c:f>
              <c:numCache>
                <c:formatCode>_-[$£-809]* #,##0.00_-;\-[$£-809]* #,##0.00_-;_-[$£-809]* "-"??_-;_-@_-</c:formatCode>
                <c:ptCount val="5"/>
                <c:pt idx="0">
                  <c:v>7884.8</c:v>
                </c:pt>
                <c:pt idx="1">
                  <c:v>8499.2000000000007</c:v>
                </c:pt>
                <c:pt idx="2">
                  <c:v>9576</c:v>
                </c:pt>
                <c:pt idx="3">
                  <c:v>7470.4</c:v>
                </c:pt>
                <c:pt idx="4">
                  <c:v>6745.6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2-4AE9-87BC-5BAA76F0D0B2}"/>
            </c:ext>
          </c:extLst>
        </c:ser>
        <c:ser>
          <c:idx val="1"/>
          <c:order val="1"/>
          <c:tx>
            <c:strRef>
              <c:f>'Graphic Chart'!$C$1</c:f>
              <c:strCache>
                <c:ptCount val="1"/>
                <c:pt idx="0">
                  <c:v> Base Sheet Profit in GBP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'Graphic Chart'!$A$2:$A$6</c:f>
              <c:strCache>
                <c:ptCount val="5"/>
                <c:pt idx="0">
                  <c:v>Camembert</c:v>
                </c:pt>
                <c:pt idx="1">
                  <c:v>Emmental</c:v>
                </c:pt>
                <c:pt idx="2">
                  <c:v>Gruyere</c:v>
                </c:pt>
                <c:pt idx="3">
                  <c:v>Edam</c:v>
                </c:pt>
                <c:pt idx="4">
                  <c:v>Gouda</c:v>
                </c:pt>
              </c:strCache>
            </c:strRef>
          </c:cat>
          <c:val>
            <c:numRef>
              <c:f>'Graphic Chart'!$C$2:$C$6</c:f>
              <c:numCache>
                <c:formatCode>_("£"* #,##0.00_);_("£"* \(#,##0.00\);_("£"* "-"??_);_(@_)</c:formatCode>
                <c:ptCount val="5"/>
                <c:pt idx="0" formatCode="_-[$£-809]* #,##0.00_-;\-[$£-809]* #,##0.00_-;_-[$£-809]* &quot;-&quot;??_-;_-@_-">
                  <c:v>7056</c:v>
                </c:pt>
                <c:pt idx="1">
                  <c:v>7616</c:v>
                </c:pt>
                <c:pt idx="2" formatCode="_-[$£-809]* #,##0.00_-;\-[$£-809]* #,##0.00_-;_-[$£-809]* &quot;-&quot;??_-;_-@_-">
                  <c:v>8575</c:v>
                </c:pt>
                <c:pt idx="3" formatCode="_-[$£-809]* #,##0.00_-;\-[$£-809]* #,##0.00_-;_-[$£-809]* &quot;-&quot;??_-;_-@_-">
                  <c:v>6699</c:v>
                </c:pt>
                <c:pt idx="4" formatCode="_-[$£-809]* #,##0.00_-;\-[$£-809]* #,##0.00_-;_-[$£-809]* &quot;-&quot;??_-;_-@_-">
                  <c:v>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2-4AE9-87BC-5BAA76F0D0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9528831"/>
        <c:axId val="1926080735"/>
        <c:axId val="0"/>
      </c:bar3DChart>
      <c:catAx>
        <c:axId val="33952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80735"/>
        <c:crosses val="autoZero"/>
        <c:auto val="1"/>
        <c:lblAlgn val="ctr"/>
        <c:lblOffset val="100"/>
        <c:noMultiLvlLbl val="0"/>
      </c:catAx>
      <c:valAx>
        <c:axId val="19260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528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Home Pag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Home Page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Base Sheet '!A1"/><Relationship Id="rId7" Type="http://schemas.openxmlformats.org/officeDocument/2006/relationships/image" Target="../media/image3.png"/><Relationship Id="rId2" Type="http://schemas.openxmlformats.org/officeDocument/2006/relationships/hyperlink" Target="#'Prediction Sheet'!A1"/><Relationship Id="rId1" Type="http://schemas.openxmlformats.org/officeDocument/2006/relationships/hyperlink" Target="#'Home Page'!A1"/><Relationship Id="rId6" Type="http://schemas.openxmlformats.org/officeDocument/2006/relationships/image" Target="../media/image2.png"/><Relationship Id="rId5" Type="http://schemas.openxmlformats.org/officeDocument/2006/relationships/image" Target="../media/image1.jpeg"/><Relationship Id="rId4" Type="http://schemas.openxmlformats.org/officeDocument/2006/relationships/hyperlink" Target="#'Graphic Chart'!A1"/><Relationship Id="rId9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'Home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15</xdr:row>
      <xdr:rowOff>22860</xdr:rowOff>
    </xdr:from>
    <xdr:to>
      <xdr:col>2</xdr:col>
      <xdr:colOff>22860</xdr:colOff>
      <xdr:row>16</xdr:row>
      <xdr:rowOff>160020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DA70A-F81D-46D5-C7E3-9953B9F30C78}"/>
            </a:ext>
          </a:extLst>
        </xdr:cNvPr>
        <xdr:cNvSpPr/>
      </xdr:nvSpPr>
      <xdr:spPr>
        <a:xfrm>
          <a:off x="22860" y="3101340"/>
          <a:ext cx="2499360" cy="32004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/>
            <a:t>Home</a:t>
          </a:r>
          <a:r>
            <a:rPr lang="en-GB" sz="1800" baseline="0"/>
            <a:t> Page</a:t>
          </a:r>
          <a:endParaRPr lang="en-GB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2</xdr:col>
      <xdr:colOff>0</xdr:colOff>
      <xdr:row>16</xdr:row>
      <xdr:rowOff>137160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667AE-5EB8-4547-81D3-3CD80556C848}"/>
            </a:ext>
          </a:extLst>
        </xdr:cNvPr>
        <xdr:cNvSpPr/>
      </xdr:nvSpPr>
      <xdr:spPr>
        <a:xfrm>
          <a:off x="0" y="3078480"/>
          <a:ext cx="2499360" cy="32004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/>
            <a:t>Home</a:t>
          </a:r>
          <a:r>
            <a:rPr lang="en-GB" sz="1800" baseline="0"/>
            <a:t> Page</a:t>
          </a:r>
          <a:endParaRPr lang="en-GB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571500</xdr:colOff>
      <xdr:row>26</xdr:row>
      <xdr:rowOff>7398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E67FF4-CF9E-F134-2358-49AA4133498A}"/>
            </a:ext>
          </a:extLst>
        </xdr:cNvPr>
        <xdr:cNvSpPr/>
      </xdr:nvSpPr>
      <xdr:spPr>
        <a:xfrm>
          <a:off x="0" y="0"/>
          <a:ext cx="10884393" cy="4816136"/>
        </a:xfrm>
        <a:prstGeom prst="rect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599242</xdr:colOff>
      <xdr:row>1</xdr:row>
      <xdr:rowOff>37561</xdr:rowOff>
    </xdr:from>
    <xdr:to>
      <xdr:col>17</xdr:col>
      <xdr:colOff>214543</xdr:colOff>
      <xdr:row>6</xdr:row>
      <xdr:rowOff>37561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EE932-421F-1024-24BA-6811EE9D7B5B}"/>
            </a:ext>
          </a:extLst>
        </xdr:cNvPr>
        <xdr:cNvSpPr/>
      </xdr:nvSpPr>
      <xdr:spPr>
        <a:xfrm>
          <a:off x="7878931" y="222512"/>
          <a:ext cx="2648505" cy="92475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/>
            <a:t>Home Page</a:t>
          </a:r>
        </a:p>
      </xdr:txBody>
    </xdr:sp>
    <xdr:clientData/>
  </xdr:twoCellAnchor>
  <xdr:twoCellAnchor>
    <xdr:from>
      <xdr:col>13</xdr:col>
      <xdr:colOff>51787</xdr:colOff>
      <xdr:row>14</xdr:row>
      <xdr:rowOff>162055</xdr:rowOff>
    </xdr:from>
    <xdr:to>
      <xdr:col>17</xdr:col>
      <xdr:colOff>236738</xdr:colOff>
      <xdr:row>19</xdr:row>
      <xdr:rowOff>73980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A29CA0-3D98-933E-FF60-8AC8B2DCDD48}"/>
            </a:ext>
          </a:extLst>
        </xdr:cNvPr>
        <xdr:cNvSpPr/>
      </xdr:nvSpPr>
      <xdr:spPr>
        <a:xfrm>
          <a:off x="7938117" y="2751375"/>
          <a:ext cx="2611514" cy="836683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/>
            <a:t>Prediction Sheet </a:t>
          </a:r>
        </a:p>
      </xdr:txBody>
    </xdr:sp>
    <xdr:clientData/>
  </xdr:twoCellAnchor>
  <xdr:twoCellAnchor>
    <xdr:from>
      <xdr:col>13</xdr:col>
      <xdr:colOff>7399</xdr:colOff>
      <xdr:row>8</xdr:row>
      <xdr:rowOff>50417</xdr:rowOff>
    </xdr:from>
    <xdr:to>
      <xdr:col>17</xdr:col>
      <xdr:colOff>214544</xdr:colOff>
      <xdr:row>12</xdr:row>
      <xdr:rowOff>133166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A2FA27-B395-495D-A259-151715E84753}"/>
            </a:ext>
          </a:extLst>
        </xdr:cNvPr>
        <xdr:cNvSpPr/>
      </xdr:nvSpPr>
      <xdr:spPr>
        <a:xfrm>
          <a:off x="7893729" y="1530029"/>
          <a:ext cx="2633708" cy="822554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400"/>
            <a:t>Base Sheet</a:t>
          </a:r>
          <a:r>
            <a:rPr lang="en-GB" sz="2400" baseline="0"/>
            <a:t> </a:t>
          </a:r>
          <a:endParaRPr lang="en-GB" sz="2400"/>
        </a:p>
      </xdr:txBody>
    </xdr:sp>
    <xdr:clientData/>
  </xdr:twoCellAnchor>
  <xdr:twoCellAnchor>
    <xdr:from>
      <xdr:col>1</xdr:col>
      <xdr:colOff>213360</xdr:colOff>
      <xdr:row>1</xdr:row>
      <xdr:rowOff>152400</xdr:rowOff>
    </xdr:from>
    <xdr:to>
      <xdr:col>4</xdr:col>
      <xdr:colOff>205740</xdr:colOff>
      <xdr:row>3</xdr:row>
      <xdr:rowOff>129540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E6F0BE-4C7D-5004-C7D3-37EAFDF3011B}"/>
            </a:ext>
          </a:extLst>
        </xdr:cNvPr>
        <xdr:cNvSpPr txBox="1"/>
      </xdr:nvSpPr>
      <xdr:spPr>
        <a:xfrm>
          <a:off x="822960" y="335280"/>
          <a:ext cx="1821180" cy="3429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/>
              </a:solidFill>
            </a:rPr>
            <a:t>Harshkumar Narendra</a:t>
          </a:r>
        </a:p>
        <a:p>
          <a:endParaRPr lang="en-GB" sz="1100"/>
        </a:p>
      </xdr:txBody>
    </xdr:sp>
    <xdr:clientData/>
  </xdr:twoCellAnchor>
  <xdr:twoCellAnchor>
    <xdr:from>
      <xdr:col>13</xdr:col>
      <xdr:colOff>73981</xdr:colOff>
      <xdr:row>22</xdr:row>
      <xdr:rowOff>29304</xdr:rowOff>
    </xdr:from>
    <xdr:to>
      <xdr:col>17</xdr:col>
      <xdr:colOff>295923</xdr:colOff>
      <xdr:row>24</xdr:row>
      <xdr:rowOff>14064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B4DE31-BFCC-7C2C-5A43-024C57F67AB9}"/>
            </a:ext>
          </a:extLst>
        </xdr:cNvPr>
        <xdr:cNvSpPr/>
      </xdr:nvSpPr>
      <xdr:spPr>
        <a:xfrm>
          <a:off x="7960311" y="4098236"/>
          <a:ext cx="2648505" cy="35466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/>
            <a:t>Graphic Chart</a:t>
          </a:r>
        </a:p>
      </xdr:txBody>
    </xdr:sp>
    <xdr:clientData/>
  </xdr:twoCellAnchor>
  <xdr:twoCellAnchor editAs="oneCell">
    <xdr:from>
      <xdr:col>1</xdr:col>
      <xdr:colOff>200122</xdr:colOff>
      <xdr:row>4</xdr:row>
      <xdr:rowOff>30789</xdr:rowOff>
    </xdr:from>
    <xdr:to>
      <xdr:col>4</xdr:col>
      <xdr:colOff>269395</xdr:colOff>
      <xdr:row>24</xdr:row>
      <xdr:rowOff>18036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36AAC4-5C69-01A2-4855-9C7B6A532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83" y="769698"/>
          <a:ext cx="1893454" cy="3681793"/>
        </a:xfrm>
        <a:prstGeom prst="rect">
          <a:avLst/>
        </a:prstGeom>
      </xdr:spPr>
    </xdr:pic>
    <xdr:clientData/>
  </xdr:twoCellAnchor>
  <xdr:twoCellAnchor editAs="oneCell">
    <xdr:from>
      <xdr:col>10</xdr:col>
      <xdr:colOff>281126</xdr:colOff>
      <xdr:row>6</xdr:row>
      <xdr:rowOff>147961</xdr:rowOff>
    </xdr:from>
    <xdr:to>
      <xdr:col>13</xdr:col>
      <xdr:colOff>6996</xdr:colOff>
      <xdr:row>14</xdr:row>
      <xdr:rowOff>35688</xdr:rowOff>
    </xdr:to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AFCB9A-646B-4D33-516F-D9E31A55E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7534" y="1257670"/>
          <a:ext cx="1545792" cy="1367338"/>
        </a:xfrm>
        <a:prstGeom prst="rect">
          <a:avLst/>
        </a:prstGeom>
      </xdr:spPr>
    </xdr:pic>
    <xdr:clientData/>
  </xdr:twoCellAnchor>
  <xdr:twoCellAnchor editAs="oneCell">
    <xdr:from>
      <xdr:col>10</xdr:col>
      <xdr:colOff>362504</xdr:colOff>
      <xdr:row>1</xdr:row>
      <xdr:rowOff>66584</xdr:rowOff>
    </xdr:from>
    <xdr:to>
      <xdr:col>12</xdr:col>
      <xdr:colOff>400778</xdr:colOff>
      <xdr:row>6</xdr:row>
      <xdr:rowOff>147962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37EE3A-25D6-C2CD-514F-7DF69855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12" y="251535"/>
          <a:ext cx="1251555" cy="1006136"/>
        </a:xfrm>
        <a:prstGeom prst="rect">
          <a:avLst/>
        </a:prstGeom>
      </xdr:spPr>
    </xdr:pic>
    <xdr:clientData/>
  </xdr:twoCellAnchor>
  <xdr:twoCellAnchor editAs="oneCell">
    <xdr:from>
      <xdr:col>10</xdr:col>
      <xdr:colOff>44388</xdr:colOff>
      <xdr:row>11</xdr:row>
      <xdr:rowOff>170156</xdr:rowOff>
    </xdr:from>
    <xdr:to>
      <xdr:col>13</xdr:col>
      <xdr:colOff>184952</xdr:colOff>
      <xdr:row>21</xdr:row>
      <xdr:rowOff>88777</xdr:rowOff>
    </xdr:to>
    <xdr:pic>
      <xdr:nvPicPr>
        <xdr:cNvPr id="13" name="Pictur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8F943D-FB41-E76E-FF40-1BA283692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796" y="2204622"/>
          <a:ext cx="1960486" cy="1768136"/>
        </a:xfrm>
        <a:prstGeom prst="rect">
          <a:avLst/>
        </a:prstGeom>
      </xdr:spPr>
    </xdr:pic>
    <xdr:clientData/>
  </xdr:twoCellAnchor>
  <xdr:twoCellAnchor editAs="oneCell">
    <xdr:from>
      <xdr:col>11</xdr:col>
      <xdr:colOff>51784</xdr:colOff>
      <xdr:row>19</xdr:row>
      <xdr:rowOff>66582</xdr:rowOff>
    </xdr:from>
    <xdr:to>
      <xdr:col>12</xdr:col>
      <xdr:colOff>525261</xdr:colOff>
      <xdr:row>25</xdr:row>
      <xdr:rowOff>36991</xdr:rowOff>
    </xdr:to>
    <xdr:pic>
      <xdr:nvPicPr>
        <xdr:cNvPr id="16" name="Picture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B2625F-C263-035E-BA96-A81D2AD5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833" y="3580660"/>
          <a:ext cx="1080117" cy="1080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2</xdr:col>
      <xdr:colOff>0</xdr:colOff>
      <xdr:row>16</xdr:row>
      <xdr:rowOff>137160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D62306-73EB-4053-84C6-AEAAB0A40F5F}"/>
            </a:ext>
          </a:extLst>
        </xdr:cNvPr>
        <xdr:cNvSpPr/>
      </xdr:nvSpPr>
      <xdr:spPr>
        <a:xfrm>
          <a:off x="0" y="3078480"/>
          <a:ext cx="2499360" cy="32004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/>
            <a:t>Home</a:t>
          </a:r>
          <a:r>
            <a:rPr lang="en-GB" sz="1800" baseline="0"/>
            <a:t> Page</a:t>
          </a:r>
          <a:endParaRPr lang="en-GB" sz="1800"/>
        </a:p>
      </xdr:txBody>
    </xdr:sp>
    <xdr:clientData/>
  </xdr:twoCellAnchor>
  <xdr:twoCellAnchor>
    <xdr:from>
      <xdr:col>4</xdr:col>
      <xdr:colOff>0</xdr:colOff>
      <xdr:row>1</xdr:row>
      <xdr:rowOff>15240</xdr:rowOff>
    </xdr:from>
    <xdr:to>
      <xdr:col>14</xdr:col>
      <xdr:colOff>579120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3CC3B-B372-769A-1AA3-29D007DBA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255F4-03E4-4A52-8578-19918237BBC4}" name="Table22" displayName="Table22" ref="A1:G6" totalsRowShown="0" headerRowDxfId="17">
  <autoFilter ref="A1:G6" xr:uid="{012667C3-26AD-4F37-8D99-CD4A182EED64}"/>
  <tableColumns count="7">
    <tableColumn id="1" xr3:uid="{B06613FC-46D7-49DE-971C-D91816F9BDA0}" name="Cheese " dataDxfId="16"/>
    <tableColumn id="2" xr3:uid="{8E577D25-356D-4192-AEC6-49607501799F}" name="Cost per Kilo in Euros" dataDxfId="15"/>
    <tableColumn id="3" xr3:uid="{6DA058D8-C319-4744-A623-3DDD06CAEC51}" name="Average monthly sales based on Euro to Pound exchange rate of 0.7" dataDxfId="14">
      <calculatedColumnFormula>IF($B$11=0.1, 'Base Sheet '!C2-20, 'Base Sheet '!C2)</calculatedColumnFormula>
    </tableColumn>
    <tableColumn id="8" xr3:uid="{599A36AA-1AD1-4A14-9E7D-3364CA468AA0}" name="Selling Price in GBP" dataDxfId="13">
      <calculatedColumnFormula>(E2*$B$13)+E2</calculatedColumnFormula>
    </tableColumn>
    <tableColumn id="4" xr3:uid="{10ADD5AB-38B9-4B01-BA9B-2DA2D68DD591}" name="Cost in GBP" dataDxfId="12">
      <calculatedColumnFormula>B2*$B$12</calculatedColumnFormula>
    </tableColumn>
    <tableColumn id="5" xr3:uid="{416380BA-0D0F-49DF-94B2-2D6FAF26D7C7}" name="Profit Margin" dataDxfId="11">
      <calculatedColumnFormula>E2*$B$13</calculatedColumnFormula>
    </tableColumn>
    <tableColumn id="6" xr3:uid="{89A295F7-C96C-423A-B507-E08F752B1697}" name="Profit in GBP" dataDxfId="10">
      <calculatedColumnFormula>(D2-E2)*C2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2667C3-26AD-4F37-8D99-CD4A182EED64}" name="Table2" displayName="Table2" ref="A1:G6" totalsRowShown="0" headerRowDxfId="9">
  <autoFilter ref="A1:G6" xr:uid="{012667C3-26AD-4F37-8D99-CD4A182EED64}"/>
  <tableColumns count="7">
    <tableColumn id="1" xr3:uid="{54BAEA91-352D-49F3-8D73-BB097066E6D5}" name="Cheese " dataDxfId="8"/>
    <tableColumn id="2" xr3:uid="{BC28BD97-87A6-4357-840E-B73C3B7315E7}" name="Cost per Kilo in Euros" dataDxfId="7"/>
    <tableColumn id="3" xr3:uid="{EA970426-71F7-43C2-875B-A1FCE3E9FFC2}" name="Average monthly sales based on Euro to Pound exchange rate of 0.7" dataDxfId="6"/>
    <tableColumn id="8" xr3:uid="{332A77E5-A625-4ED4-9914-2F122B8E763A}" name="Selling Price in GBP" dataDxfId="5">
      <calculatedColumnFormula>(E2*$B$13)+E2</calculatedColumnFormula>
    </tableColumn>
    <tableColumn id="4" xr3:uid="{DB0C1E53-C84A-40DF-AF3C-2648B25AFBCD}" name="Cost in GBP" dataDxfId="4">
      <calculatedColumnFormula>B2*$B$12</calculatedColumnFormula>
    </tableColumn>
    <tableColumn id="5" xr3:uid="{D99C8E27-5140-4DCE-AC4D-B477AFE5E533}" name="Profit Margin" dataDxfId="3">
      <calculatedColumnFormula>E2*$B$13</calculatedColumnFormula>
    </tableColumn>
    <tableColumn id="6" xr3:uid="{27699428-7A15-4F84-86D8-B4E6535CF114}" name="Profit in GBP" dataDxfId="2">
      <calculatedColumnFormula>F2*C2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D09F8-06EB-4375-8355-9A1DC6E870C7}" name="Table4" displayName="Table4" ref="A1:C7" totalsRowShown="0">
  <autoFilter ref="A1:C7" xr:uid="{75AD09F8-06EB-4375-8355-9A1DC6E870C7}"/>
  <tableColumns count="3">
    <tableColumn id="1" xr3:uid="{F6D907BD-EA78-4977-B991-1971EADC8633}" name="Type of Cheese" dataDxfId="1"/>
    <tableColumn id="2" xr3:uid="{C858A303-EAC0-4AB4-B488-59E7434F7875}" name="Prediction Sheet Profit in GBP"/>
    <tableColumn id="3" xr3:uid="{96F98865-54F3-49D4-B106-A87E6420200D}" name="Base Sheet Profit in GB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33A4-1BF7-450C-84AC-4D8B4039E7F7}">
  <dimension ref="A1:I18"/>
  <sheetViews>
    <sheetView tabSelected="1" workbookViewId="0">
      <selection activeCell="G2" sqref="G2"/>
    </sheetView>
  </sheetViews>
  <sheetFormatPr defaultRowHeight="14.4" x14ac:dyDescent="0.3"/>
  <cols>
    <col min="1" max="1" width="12.88671875" style="1" customWidth="1"/>
    <col min="2" max="2" width="23.5546875" style="1" bestFit="1" customWidth="1"/>
    <col min="3" max="3" width="69.6640625" style="1" customWidth="1"/>
    <col min="4" max="4" width="23.88671875" style="1" customWidth="1"/>
    <col min="5" max="5" width="17.33203125" style="2" customWidth="1"/>
    <col min="6" max="6" width="21.33203125" bestFit="1" customWidth="1"/>
    <col min="7" max="7" width="16.44140625" customWidth="1"/>
    <col min="8" max="8" width="14.33203125" bestFit="1" customWidth="1"/>
    <col min="9" max="9" width="14.5546875" customWidth="1"/>
  </cols>
  <sheetData>
    <row r="1" spans="1:9" s="13" customFormat="1" ht="40.799999999999997" customHeight="1" x14ac:dyDescent="0.3">
      <c r="A1" s="9" t="s">
        <v>0</v>
      </c>
      <c r="B1" s="9" t="s">
        <v>1</v>
      </c>
      <c r="C1" s="9" t="s">
        <v>2</v>
      </c>
      <c r="D1" s="9" t="s">
        <v>11</v>
      </c>
      <c r="E1" s="10" t="s">
        <v>8</v>
      </c>
      <c r="F1" s="11" t="s">
        <v>13</v>
      </c>
      <c r="G1" s="11" t="s">
        <v>12</v>
      </c>
      <c r="H1" s="12"/>
      <c r="I1" s="12"/>
    </row>
    <row r="2" spans="1:9" x14ac:dyDescent="0.3">
      <c r="A2" s="1" t="s">
        <v>3</v>
      </c>
      <c r="B2" s="30">
        <v>28</v>
      </c>
      <c r="C2" s="1">
        <f>IF($B$11=0.1, 'Base Sheet '!C2-20, 'Base Sheet '!C2)</f>
        <v>880</v>
      </c>
      <c r="D2" s="27">
        <f>(E2*$B$13)+E2</f>
        <v>27.439999999999998</v>
      </c>
      <c r="E2" s="27">
        <f>B2*$B$12</f>
        <v>19.599999999999998</v>
      </c>
      <c r="F2" s="27">
        <f>E2*$B$13</f>
        <v>7.84</v>
      </c>
      <c r="G2" s="27">
        <f>(D2-E2)*C2</f>
        <v>6899.2</v>
      </c>
      <c r="H2" s="3"/>
      <c r="I2" s="5"/>
    </row>
    <row r="3" spans="1:9" x14ac:dyDescent="0.3">
      <c r="A3" s="1" t="s">
        <v>4</v>
      </c>
      <c r="B3" s="30">
        <v>32</v>
      </c>
      <c r="C3" s="1">
        <f>IF($B$11=0.1, 'Base Sheet '!C3-20, 'Base Sheet '!C3)</f>
        <v>830</v>
      </c>
      <c r="D3" s="27">
        <f t="shared" ref="D3:D6" si="0">(E3*$B$13)+E3</f>
        <v>31.36</v>
      </c>
      <c r="E3" s="27">
        <f t="shared" ref="E3:E6" si="1">B3*$B$12</f>
        <v>22.4</v>
      </c>
      <c r="F3" s="27">
        <f t="shared" ref="F3:F6" si="2">E3*$B$13</f>
        <v>8.9599999999999991</v>
      </c>
      <c r="G3" s="27">
        <f t="shared" ref="G3:G6" si="3">(D3-E3)*C3</f>
        <v>7436.8000000000011</v>
      </c>
    </row>
    <row r="4" spans="1:9" x14ac:dyDescent="0.3">
      <c r="A4" s="1" t="s">
        <v>5</v>
      </c>
      <c r="B4" s="30">
        <v>35</v>
      </c>
      <c r="C4" s="1">
        <f>IF($B$11=0.1, 'Base Sheet '!C4-20, 'Base Sheet '!C4)</f>
        <v>855</v>
      </c>
      <c r="D4" s="27">
        <f t="shared" si="0"/>
        <v>34.299999999999997</v>
      </c>
      <c r="E4" s="27">
        <f t="shared" si="1"/>
        <v>24.5</v>
      </c>
      <c r="F4" s="27">
        <f t="shared" si="2"/>
        <v>9.8000000000000007</v>
      </c>
      <c r="G4" s="27">
        <f t="shared" si="3"/>
        <v>8378.9999999999982</v>
      </c>
    </row>
    <row r="5" spans="1:9" x14ac:dyDescent="0.3">
      <c r="A5" s="1" t="s">
        <v>6</v>
      </c>
      <c r="B5" s="30">
        <v>29</v>
      </c>
      <c r="C5" s="1">
        <f>IF($B$11=0.1, 'Base Sheet '!C5-20, 'Base Sheet '!C5)</f>
        <v>805</v>
      </c>
      <c r="D5" s="27">
        <f t="shared" si="0"/>
        <v>28.419999999999995</v>
      </c>
      <c r="E5" s="27">
        <f t="shared" si="1"/>
        <v>20.299999999999997</v>
      </c>
      <c r="F5" s="27">
        <f t="shared" si="2"/>
        <v>8.1199999999999992</v>
      </c>
      <c r="G5" s="27">
        <f t="shared" si="3"/>
        <v>6536.5999999999976</v>
      </c>
    </row>
    <row r="6" spans="1:9" x14ac:dyDescent="0.3">
      <c r="A6" s="1" t="s">
        <v>7</v>
      </c>
      <c r="B6" s="30">
        <v>31</v>
      </c>
      <c r="C6" s="1">
        <f>IF($B$11=0.1, 'Base Sheet '!C6-20, 'Base Sheet '!C6)</f>
        <v>680</v>
      </c>
      <c r="D6" s="27">
        <f t="shared" si="0"/>
        <v>30.38</v>
      </c>
      <c r="E6" s="27">
        <f t="shared" si="1"/>
        <v>21.7</v>
      </c>
      <c r="F6" s="27">
        <f t="shared" si="2"/>
        <v>8.68</v>
      </c>
      <c r="G6" s="27">
        <f t="shared" si="3"/>
        <v>5902.4</v>
      </c>
    </row>
    <row r="7" spans="1:9" x14ac:dyDescent="0.3">
      <c r="D7" s="27"/>
      <c r="E7" s="27"/>
      <c r="F7" s="27"/>
      <c r="G7" s="27"/>
    </row>
    <row r="8" spans="1:9" x14ac:dyDescent="0.3">
      <c r="D8" s="27"/>
      <c r="E8" s="27"/>
      <c r="F8" s="27"/>
      <c r="G8" s="27"/>
    </row>
    <row r="9" spans="1:9" x14ac:dyDescent="0.3">
      <c r="D9" s="27"/>
      <c r="E9" s="27"/>
      <c r="F9" s="27"/>
      <c r="G9" s="27"/>
    </row>
    <row r="10" spans="1:9" x14ac:dyDescent="0.3">
      <c r="D10" s="27"/>
      <c r="E10" s="27"/>
      <c r="F10" s="27"/>
      <c r="G10" s="27"/>
    </row>
    <row r="11" spans="1:9" x14ac:dyDescent="0.3">
      <c r="A11" s="14" t="s">
        <v>15</v>
      </c>
      <c r="B11" s="15">
        <v>0.1</v>
      </c>
      <c r="D11" s="27"/>
      <c r="E11" s="27"/>
      <c r="F11" s="27"/>
      <c r="G11" s="27"/>
    </row>
    <row r="12" spans="1:9" x14ac:dyDescent="0.3">
      <c r="A12" s="4" t="s">
        <v>9</v>
      </c>
      <c r="B12" s="7">
        <v>0.7</v>
      </c>
      <c r="D12" s="27"/>
      <c r="E12" s="29" t="s">
        <v>14</v>
      </c>
      <c r="F12" s="27"/>
      <c r="G12" s="27"/>
    </row>
    <row r="13" spans="1:9" x14ac:dyDescent="0.3">
      <c r="A13" s="4" t="s">
        <v>10</v>
      </c>
      <c r="B13" s="8">
        <v>0.4</v>
      </c>
      <c r="D13" s="27"/>
      <c r="E13" s="29">
        <f>SUM(G2:G6)</f>
        <v>35154</v>
      </c>
      <c r="F13" s="27"/>
      <c r="G13" s="27"/>
    </row>
    <row r="17" spans="3:5" x14ac:dyDescent="0.3">
      <c r="C17" s="2"/>
      <c r="D17"/>
      <c r="E17"/>
    </row>
    <row r="18" spans="3:5" x14ac:dyDescent="0.3">
      <c r="C18" s="2"/>
      <c r="D18"/>
      <c r="E18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45AA-4ECD-451D-BCCF-F901DF320551}">
  <dimension ref="A1:I13"/>
  <sheetViews>
    <sheetView zoomScaleNormal="100" workbookViewId="0"/>
  </sheetViews>
  <sheetFormatPr defaultRowHeight="14.4" x14ac:dyDescent="0.3"/>
  <cols>
    <col min="1" max="1" width="12.88671875" style="1" customWidth="1"/>
    <col min="2" max="2" width="23.5546875" style="1" bestFit="1" customWidth="1"/>
    <col min="3" max="3" width="69.6640625" style="1" customWidth="1"/>
    <col min="4" max="4" width="23.88671875" style="1" customWidth="1"/>
    <col min="5" max="5" width="17.33203125" style="2" customWidth="1"/>
    <col min="6" max="6" width="21.33203125" bestFit="1" customWidth="1"/>
    <col min="7" max="7" width="16.44140625" customWidth="1"/>
    <col min="8" max="8" width="14.33203125" bestFit="1" customWidth="1"/>
    <col min="9" max="9" width="14.5546875" customWidth="1"/>
  </cols>
  <sheetData>
    <row r="1" spans="1:9" s="13" customFormat="1" ht="40.799999999999997" customHeight="1" x14ac:dyDescent="0.3">
      <c r="A1" s="9" t="s">
        <v>0</v>
      </c>
      <c r="B1" s="9" t="s">
        <v>1</v>
      </c>
      <c r="C1" s="9" t="s">
        <v>2</v>
      </c>
      <c r="D1" s="9" t="s">
        <v>11</v>
      </c>
      <c r="E1" s="10" t="s">
        <v>8</v>
      </c>
      <c r="F1" s="11" t="s">
        <v>13</v>
      </c>
      <c r="G1" s="11" t="s">
        <v>12</v>
      </c>
      <c r="H1" s="12"/>
      <c r="I1" s="12"/>
    </row>
    <row r="2" spans="1:9" x14ac:dyDescent="0.3">
      <c r="A2" s="1" t="s">
        <v>3</v>
      </c>
      <c r="B2" s="26">
        <v>28</v>
      </c>
      <c r="C2" s="1">
        <v>900</v>
      </c>
      <c r="D2" s="27">
        <f t="shared" ref="D2:D6" si="0">(E2*$B$13)+E2</f>
        <v>27.439999999999998</v>
      </c>
      <c r="E2" s="27">
        <f>B2*$B$12</f>
        <v>19.599999999999998</v>
      </c>
      <c r="F2" s="27">
        <f t="shared" ref="F2:F6" si="1">E2*$B$13</f>
        <v>7.84</v>
      </c>
      <c r="G2" s="27">
        <f>F2*C2</f>
        <v>7056</v>
      </c>
      <c r="H2" s="3"/>
      <c r="I2" s="5"/>
    </row>
    <row r="3" spans="1:9" x14ac:dyDescent="0.3">
      <c r="A3" s="1" t="s">
        <v>4</v>
      </c>
      <c r="B3" s="26">
        <v>32</v>
      </c>
      <c r="C3" s="1">
        <v>850</v>
      </c>
      <c r="D3" s="27">
        <f t="shared" si="0"/>
        <v>31.36</v>
      </c>
      <c r="E3" s="27">
        <f t="shared" ref="E3:E6" si="2">B3*$B$12</f>
        <v>22.4</v>
      </c>
      <c r="F3" s="27">
        <f t="shared" si="1"/>
        <v>8.9599999999999991</v>
      </c>
      <c r="G3" s="27">
        <f>F3*C3</f>
        <v>7615.9999999999991</v>
      </c>
    </row>
    <row r="4" spans="1:9" x14ac:dyDescent="0.3">
      <c r="A4" s="1" t="s">
        <v>5</v>
      </c>
      <c r="B4" s="26">
        <v>35</v>
      </c>
      <c r="C4" s="1">
        <v>875</v>
      </c>
      <c r="D4" s="27">
        <f t="shared" si="0"/>
        <v>34.299999999999997</v>
      </c>
      <c r="E4" s="27">
        <f t="shared" si="2"/>
        <v>24.5</v>
      </c>
      <c r="F4" s="27">
        <f t="shared" si="1"/>
        <v>9.8000000000000007</v>
      </c>
      <c r="G4" s="27">
        <f>F4*C4</f>
        <v>8575</v>
      </c>
    </row>
    <row r="5" spans="1:9" x14ac:dyDescent="0.3">
      <c r="A5" s="1" t="s">
        <v>6</v>
      </c>
      <c r="B5" s="26">
        <v>29</v>
      </c>
      <c r="C5" s="1">
        <v>825</v>
      </c>
      <c r="D5" s="27">
        <f t="shared" si="0"/>
        <v>28.419999999999995</v>
      </c>
      <c r="E5" s="27">
        <f t="shared" si="2"/>
        <v>20.299999999999997</v>
      </c>
      <c r="F5" s="27">
        <f t="shared" si="1"/>
        <v>8.1199999999999992</v>
      </c>
      <c r="G5" s="27">
        <f>F5*C5</f>
        <v>6698.9999999999991</v>
      </c>
    </row>
    <row r="6" spans="1:9" x14ac:dyDescent="0.3">
      <c r="A6" s="1" t="s">
        <v>7</v>
      </c>
      <c r="B6" s="26">
        <v>31</v>
      </c>
      <c r="C6" s="1">
        <v>700</v>
      </c>
      <c r="D6" s="27">
        <f t="shared" si="0"/>
        <v>30.38</v>
      </c>
      <c r="E6" s="27">
        <f t="shared" si="2"/>
        <v>21.7</v>
      </c>
      <c r="F6" s="27">
        <f t="shared" si="1"/>
        <v>8.68</v>
      </c>
      <c r="G6" s="27">
        <f>F6*C6</f>
        <v>6076</v>
      </c>
    </row>
    <row r="7" spans="1:9" x14ac:dyDescent="0.3">
      <c r="D7" s="27"/>
      <c r="E7" s="27"/>
      <c r="F7" s="27"/>
      <c r="G7" s="27"/>
    </row>
    <row r="8" spans="1:9" x14ac:dyDescent="0.3">
      <c r="D8" s="27"/>
      <c r="E8" s="27"/>
      <c r="F8" s="27"/>
      <c r="G8" s="27"/>
    </row>
    <row r="9" spans="1:9" x14ac:dyDescent="0.3">
      <c r="D9" s="27"/>
      <c r="E9" s="27"/>
      <c r="F9" s="27"/>
      <c r="G9" s="27"/>
    </row>
    <row r="10" spans="1:9" x14ac:dyDescent="0.3">
      <c r="D10" s="27"/>
      <c r="E10" s="27"/>
      <c r="F10" s="27"/>
      <c r="G10" s="27"/>
    </row>
    <row r="11" spans="1:9" x14ac:dyDescent="0.3">
      <c r="D11" s="27"/>
      <c r="E11" s="28" t="s">
        <v>14</v>
      </c>
      <c r="F11" s="27"/>
      <c r="G11" s="27"/>
    </row>
    <row r="12" spans="1:9" x14ac:dyDescent="0.3">
      <c r="A12" s="4" t="s">
        <v>9</v>
      </c>
      <c r="B12" s="7">
        <v>0.7</v>
      </c>
      <c r="D12" s="27"/>
      <c r="E12" s="29">
        <f>SUM(Table2[Profit in GBP])</f>
        <v>36022</v>
      </c>
      <c r="F12" s="27"/>
      <c r="G12" s="27"/>
    </row>
    <row r="13" spans="1:9" x14ac:dyDescent="0.3">
      <c r="A13" s="4" t="s">
        <v>10</v>
      </c>
      <c r="B13" s="8">
        <v>0.4</v>
      </c>
      <c r="E13" s="6"/>
    </row>
  </sheetData>
  <phoneticPr fontId="4" type="noConversion"/>
  <dataValidations xWindow="142" yWindow="358" count="1">
    <dataValidation type="textLength" errorStyle="warning" allowBlank="1" showInputMessage="1" showErrorMessage="1" errorTitle="Text only field !!" error="Please insert in text format only with minimum 4 character &amp; maximum 9 !!" promptTitle="Text only field !!" prompt="Please insert in text format only with minimum 4 character &amp; maximum 9 !!" sqref="A2:A6" xr:uid="{6996BE28-849C-414F-9231-C5234A0838B9}">
      <formula1>4</formula1>
      <formula2>9</formula2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D1F1-55CA-4734-8F23-427B89728530}">
  <dimension ref="A1"/>
  <sheetViews>
    <sheetView zoomScale="9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5E52-2085-4EEC-9962-FB172C32CF43}">
  <dimension ref="A1:C13"/>
  <sheetViews>
    <sheetView zoomScale="92" workbookViewId="0"/>
  </sheetViews>
  <sheetFormatPr defaultRowHeight="14.4" x14ac:dyDescent="0.3"/>
  <cols>
    <col min="1" max="1" width="19.6640625" style="1" bestFit="1" customWidth="1"/>
    <col min="2" max="2" width="32.109375" style="2" customWidth="1"/>
    <col min="3" max="3" width="32.44140625" style="2" customWidth="1"/>
  </cols>
  <sheetData>
    <row r="1" spans="1:3" ht="15.6" x14ac:dyDescent="0.3">
      <c r="A1" s="23" t="s">
        <v>19</v>
      </c>
      <c r="B1" s="18" t="s">
        <v>17</v>
      </c>
      <c r="C1" s="18" t="s">
        <v>16</v>
      </c>
    </row>
    <row r="2" spans="1:3" x14ac:dyDescent="0.3">
      <c r="A2" s="1" t="s">
        <v>3</v>
      </c>
      <c r="B2" s="16">
        <v>7884.8</v>
      </c>
      <c r="C2" s="19">
        <v>7056</v>
      </c>
    </row>
    <row r="3" spans="1:3" x14ac:dyDescent="0.3">
      <c r="A3" s="1" t="s">
        <v>4</v>
      </c>
      <c r="B3" s="17">
        <v>8499.2000000000007</v>
      </c>
      <c r="C3" s="20">
        <v>7616</v>
      </c>
    </row>
    <row r="4" spans="1:3" x14ac:dyDescent="0.3">
      <c r="A4" s="1" t="s">
        <v>5</v>
      </c>
      <c r="B4" s="16">
        <v>9576</v>
      </c>
      <c r="C4" s="17">
        <v>8575</v>
      </c>
    </row>
    <row r="5" spans="1:3" x14ac:dyDescent="0.3">
      <c r="A5" s="1" t="s">
        <v>6</v>
      </c>
      <c r="B5" s="17">
        <v>7470.4</v>
      </c>
      <c r="C5" s="17">
        <v>6699</v>
      </c>
    </row>
    <row r="6" spans="1:3" x14ac:dyDescent="0.3">
      <c r="A6" s="1" t="s">
        <v>7</v>
      </c>
      <c r="B6" s="16">
        <v>6745.6</v>
      </c>
      <c r="C6" s="17">
        <v>6076</v>
      </c>
    </row>
    <row r="7" spans="1:3" x14ac:dyDescent="0.3">
      <c r="A7" s="24"/>
      <c r="B7" s="21"/>
      <c r="C7" s="21"/>
    </row>
    <row r="8" spans="1:3" x14ac:dyDescent="0.3">
      <c r="A8" s="25" t="s">
        <v>18</v>
      </c>
      <c r="B8" s="22">
        <f>SUM(B2:B6)</f>
        <v>40176</v>
      </c>
      <c r="C8" s="22">
        <f>SUM(C2:C6)</f>
        <v>36022</v>
      </c>
    </row>
    <row r="12" spans="1:3" x14ac:dyDescent="0.3">
      <c r="A12" s="4"/>
    </row>
    <row r="13" spans="1:3" x14ac:dyDescent="0.3">
      <c r="A13" s="4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872CE38-A319-4801-8DCD-4189DB82E2E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2B079C0-83C1-49E0-9CC8-2E78F356D703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 Sheet</vt:lpstr>
      <vt:lpstr>Base Sheet </vt:lpstr>
      <vt:lpstr>Home Page</vt:lpstr>
      <vt:lpstr>Graphic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Harshkumar Narendra</dc:creator>
  <cp:lastModifiedBy>Harshkumar Narendra</cp:lastModifiedBy>
  <dcterms:created xsi:type="dcterms:W3CDTF">2023-02-23T09:37:51Z</dcterms:created>
  <dcterms:modified xsi:type="dcterms:W3CDTF">2026-01-22T18:03:56Z</dcterms:modified>
</cp:coreProperties>
</file>